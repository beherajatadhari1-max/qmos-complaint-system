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DC2626"/>
        <bgColor rgb="00DC2626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42" customWidth="1" min="6" max="6"/>
  </cols>
  <sheetData>
    <row r="1" ht="22" customHeight="1">
      <c r="A1" s="1" t="inlineStr">
        <is>
          <t>PFMEA ACTION PRIORITY (AP) CALCULATOR — AIAG-VDA 2019</t>
        </is>
      </c>
    </row>
    <row r="2" ht="28" customHeight="1">
      <c r="A2" s="2" t="inlineStr">
        <is>
          <t>Failure Mode</t>
        </is>
      </c>
      <c r="B2" s="2" t="inlineStr">
        <is>
          <t>Severity (S)
1-10</t>
        </is>
      </c>
      <c r="C2" s="2" t="inlineStr">
        <is>
          <t>Occurrence (O)
1-5</t>
        </is>
      </c>
      <c r="D2" s="2" t="inlineStr">
        <is>
          <t>Detection (D)
1-5</t>
        </is>
      </c>
      <c r="E2" s="2" t="inlineStr">
        <is>
          <t>AP Result</t>
        </is>
      </c>
      <c r="F2" s="2" t="inlineStr">
        <is>
          <t>Action Required</t>
        </is>
      </c>
    </row>
    <row r="3">
      <c r="A3" s="3" t="n"/>
      <c r="B3" s="3" t="n"/>
      <c r="C3" s="3" t="n"/>
      <c r="D3" s="3" t="n"/>
      <c r="E3" s="4">
        <f>IF(B3="","",IF(OR(B3&gt;=9,C3&gt;=4,D3&lt;=1),"H",IF(OR(B3&gt;=5,C3&gt;=2),"M","L")))</f>
        <v/>
      </c>
      <c r="F3" s="3">
        <f>IF(E3="","",IF(E3="H","MANDATORY — Escalate immediately",IF(E3="M","ACTION REQUIRED — Plan within 90 days","REVIEW — Low priority")))</f>
        <v/>
      </c>
    </row>
    <row r="4">
      <c r="A4" s="3" t="n"/>
      <c r="B4" s="3" t="n"/>
      <c r="C4" s="3" t="n"/>
      <c r="D4" s="3" t="n"/>
      <c r="E4" s="4">
        <f>IF(B4="","",IF(OR(B4&gt;=9,C4&gt;=4,D4&lt;=1),"H",IF(OR(B4&gt;=5,C4&gt;=2),"M","L")))</f>
        <v/>
      </c>
      <c r="F4" s="3">
        <f>IF(E4="","",IF(E4="H","MANDATORY — Escalate immediately",IF(E4="M","ACTION REQUIRED — Plan within 90 days","REVIEW — Low priority")))</f>
        <v/>
      </c>
    </row>
    <row r="5">
      <c r="A5" s="3" t="n"/>
      <c r="B5" s="3" t="n"/>
      <c r="C5" s="3" t="n"/>
      <c r="D5" s="3" t="n"/>
      <c r="E5" s="4">
        <f>IF(B5="","",IF(OR(B5&gt;=9,C5&gt;=4,D5&lt;=1),"H",IF(OR(B5&gt;=5,C5&gt;=2),"M","L")))</f>
        <v/>
      </c>
      <c r="F5" s="3">
        <f>IF(E5="","",IF(E5="H","MANDATORY — Escalate immediately",IF(E5="M","ACTION REQUIRED — Plan within 90 days","REVIEW — Low priority")))</f>
        <v/>
      </c>
    </row>
    <row r="6">
      <c r="A6" s="3" t="n"/>
      <c r="B6" s="3" t="n"/>
      <c r="C6" s="3" t="n"/>
      <c r="D6" s="3" t="n"/>
      <c r="E6" s="4">
        <f>IF(B6="","",IF(OR(B6&gt;=9,C6&gt;=4,D6&lt;=1),"H",IF(OR(B6&gt;=5,C6&gt;=2),"M","L")))</f>
        <v/>
      </c>
      <c r="F6" s="3">
        <f>IF(E6="","",IF(E6="H","MANDATORY — Escalate immediately",IF(E6="M","ACTION REQUIRED — Plan within 90 days","REVIEW — Low priority")))</f>
        <v/>
      </c>
    </row>
    <row r="7">
      <c r="A7" s="3" t="n"/>
      <c r="B7" s="3" t="n"/>
      <c r="C7" s="3" t="n"/>
      <c r="D7" s="3" t="n"/>
      <c r="E7" s="4">
        <f>IF(B7="","",IF(OR(B7&gt;=9,C7&gt;=4,D7&lt;=1),"H",IF(OR(B7&gt;=5,C7&gt;=2),"M","L")))</f>
        <v/>
      </c>
      <c r="F7" s="3">
        <f>IF(E7="","",IF(E7="H","MANDATORY — Escalate immediately",IF(E7="M","ACTION REQUIRED — Plan within 90 days","REVIEW — Low priority")))</f>
        <v/>
      </c>
    </row>
    <row r="8">
      <c r="A8" s="3" t="n"/>
      <c r="B8" s="3" t="n"/>
      <c r="C8" s="3" t="n"/>
      <c r="D8" s="3" t="n"/>
      <c r="E8" s="4">
        <f>IF(B8="","",IF(OR(B8&gt;=9,C8&gt;=4,D8&lt;=1),"H",IF(OR(B8&gt;=5,C8&gt;=2),"M","L")))</f>
        <v/>
      </c>
      <c r="F8" s="3">
        <f>IF(E8="","",IF(E8="H","MANDATORY — Escalate immediately",IF(E8="M","ACTION REQUIRED — Plan within 90 days","REVIEW — Low priority")))</f>
        <v/>
      </c>
    </row>
    <row r="9">
      <c r="A9" s="3" t="n"/>
      <c r="B9" s="3" t="n"/>
      <c r="C9" s="3" t="n"/>
      <c r="D9" s="3" t="n"/>
      <c r="E9" s="4">
        <f>IF(B9="","",IF(OR(B9&gt;=9,C9&gt;=4,D9&lt;=1),"H",IF(OR(B9&gt;=5,C9&gt;=2),"M","L")))</f>
        <v/>
      </c>
      <c r="F9" s="3">
        <f>IF(E9="","",IF(E9="H","MANDATORY — Escalate immediately",IF(E9="M","ACTION REQUIRED — Plan within 90 days","REVIEW — Low priority")))</f>
        <v/>
      </c>
    </row>
    <row r="10">
      <c r="A10" s="3" t="n"/>
      <c r="B10" s="3" t="n"/>
      <c r="C10" s="3" t="n"/>
      <c r="D10" s="3" t="n"/>
      <c r="E10" s="4">
        <f>IF(B10="","",IF(OR(B10&gt;=9,C10&gt;=4,D10&lt;=1),"H",IF(OR(B10&gt;=5,C10&gt;=2),"M","L")))</f>
        <v/>
      </c>
      <c r="F10" s="3">
        <f>IF(E10="","",IF(E10="H","MANDATORY — Escalate immediately",IF(E10="M","ACTION REQUIRED — Plan within 90 days","REVIEW — Low priority")))</f>
        <v/>
      </c>
    </row>
    <row r="11">
      <c r="A11" s="3" t="n"/>
      <c r="B11" s="3" t="n"/>
      <c r="C11" s="3" t="n"/>
      <c r="D11" s="3" t="n"/>
      <c r="E11" s="4">
        <f>IF(B11="","",IF(OR(B11&gt;=9,C11&gt;=4,D11&lt;=1),"H",IF(OR(B11&gt;=5,C11&gt;=2),"M","L")))</f>
        <v/>
      </c>
      <c r="F11" s="3">
        <f>IF(E11="","",IF(E11="H","MANDATORY — Escalate immediately",IF(E11="M","ACTION REQUIRED — Plan within 90 days","REVIEW — Low priority")))</f>
        <v/>
      </c>
    </row>
    <row r="12">
      <c r="A12" s="3" t="n"/>
      <c r="B12" s="3" t="n"/>
      <c r="C12" s="3" t="n"/>
      <c r="D12" s="3" t="n"/>
      <c r="E12" s="4">
        <f>IF(B12="","",IF(OR(B12&gt;=9,C12&gt;=4,D12&lt;=1),"H",IF(OR(B12&gt;=5,C12&gt;=2),"M","L")))</f>
        <v/>
      </c>
      <c r="F12" s="3">
        <f>IF(E12="","",IF(E12="H","MANDATORY — Escalate immediately",IF(E12="M","ACTION REQUIRED — Plan within 90 days","REVIEW — Low priority")))</f>
        <v/>
      </c>
    </row>
    <row r="13">
      <c r="A13" s="3" t="n"/>
      <c r="B13" s="3" t="n"/>
      <c r="C13" s="3" t="n"/>
      <c r="D13" s="3" t="n"/>
      <c r="E13" s="4">
        <f>IF(B13="","",IF(OR(B13&gt;=9,C13&gt;=4,D13&lt;=1),"H",IF(OR(B13&gt;=5,C13&gt;=2),"M","L")))</f>
        <v/>
      </c>
      <c r="F13" s="3">
        <f>IF(E13="","",IF(E13="H","MANDATORY — Escalate immediately",IF(E13="M","ACTION REQUIRED — Plan within 90 days","REVIEW — Low priority")))</f>
        <v/>
      </c>
    </row>
    <row r="14">
      <c r="A14" s="3" t="n"/>
      <c r="B14" s="3" t="n"/>
      <c r="C14" s="3" t="n"/>
      <c r="D14" s="3" t="n"/>
      <c r="E14" s="4">
        <f>IF(B14="","",IF(OR(B14&gt;=9,C14&gt;=4,D14&lt;=1),"H",IF(OR(B14&gt;=5,C14&gt;=2),"M","L")))</f>
        <v/>
      </c>
      <c r="F14" s="3">
        <f>IF(E14="","",IF(E14="H","MANDATORY — Escalate immediately",IF(E14="M","ACTION REQUIRED — Plan within 90 days","REVIEW — Low priority")))</f>
        <v/>
      </c>
    </row>
    <row r="15">
      <c r="A15" s="3" t="n"/>
      <c r="B15" s="3" t="n"/>
      <c r="C15" s="3" t="n"/>
      <c r="D15" s="3" t="n"/>
      <c r="E15" s="4">
        <f>IF(B15="","",IF(OR(B15&gt;=9,C15&gt;=4,D15&lt;=1),"H",IF(OR(B15&gt;=5,C15&gt;=2),"M","L")))</f>
        <v/>
      </c>
      <c r="F15" s="3">
        <f>IF(E15="","",IF(E15="H","MANDATORY — Escalate immediately",IF(E15="M","ACTION REQUIRED — Plan within 90 days","REVIEW — Low priority")))</f>
        <v/>
      </c>
    </row>
    <row r="16">
      <c r="A16" s="3" t="n"/>
      <c r="B16" s="3" t="n"/>
      <c r="C16" s="3" t="n"/>
      <c r="D16" s="3" t="n"/>
      <c r="E16" s="4">
        <f>IF(B16="","",IF(OR(B16&gt;=9,C16&gt;=4,D16&lt;=1),"H",IF(OR(B16&gt;=5,C16&gt;=2),"M","L")))</f>
        <v/>
      </c>
      <c r="F16" s="3">
        <f>IF(E16="","",IF(E16="H","MANDATORY — Escalate immediately",IF(E16="M","ACTION REQUIRED — Plan within 90 days","REVIEW — Low priority")))</f>
        <v/>
      </c>
    </row>
    <row r="17">
      <c r="A17" s="3" t="n"/>
      <c r="B17" s="3" t="n"/>
      <c r="C17" s="3" t="n"/>
      <c r="D17" s="3" t="n"/>
      <c r="E17" s="4">
        <f>IF(B17="","",IF(OR(B17&gt;=9,C17&gt;=4,D17&lt;=1),"H",IF(OR(B17&gt;=5,C17&gt;=2),"M","L")))</f>
        <v/>
      </c>
      <c r="F17" s="3">
        <f>IF(E17="","",IF(E17="H","MANDATORY — Escalate immediately",IF(E17="M","ACTION REQUIRED — Plan within 90 days","REVIEW — Low priority")))</f>
        <v/>
      </c>
    </row>
    <row r="18">
      <c r="A18" s="3" t="n"/>
      <c r="B18" s="3" t="n"/>
      <c r="C18" s="3" t="n"/>
      <c r="D18" s="3" t="n"/>
      <c r="E18" s="4">
        <f>IF(B18="","",IF(OR(B18&gt;=9,C18&gt;=4,D18&lt;=1),"H",IF(OR(B18&gt;=5,C18&gt;=2),"M","L")))</f>
        <v/>
      </c>
      <c r="F18" s="3">
        <f>IF(E18="","",IF(E18="H","MANDATORY — Escalate immediately",IF(E18="M","ACTION REQUIRED — Plan within 90 days","REVIEW — Low priority")))</f>
        <v/>
      </c>
    </row>
    <row r="19">
      <c r="A19" s="3" t="n"/>
      <c r="B19" s="3" t="n"/>
      <c r="C19" s="3" t="n"/>
      <c r="D19" s="3" t="n"/>
      <c r="E19" s="4">
        <f>IF(B19="","",IF(OR(B19&gt;=9,C19&gt;=4,D19&lt;=1),"H",IF(OR(B19&gt;=5,C19&gt;=2),"M","L")))</f>
        <v/>
      </c>
      <c r="F19" s="3">
        <f>IF(E19="","",IF(E19="H","MANDATORY — Escalate immediately",IF(E19="M","ACTION REQUIRED — Plan within 90 days","REVIEW — Low priority")))</f>
        <v/>
      </c>
    </row>
    <row r="20">
      <c r="A20" s="3" t="n"/>
      <c r="B20" s="3" t="n"/>
      <c r="C20" s="3" t="n"/>
      <c r="D20" s="3" t="n"/>
      <c r="E20" s="4">
        <f>IF(B20="","",IF(OR(B20&gt;=9,C20&gt;=4,D20&lt;=1),"H",IF(OR(B20&gt;=5,C20&gt;=2),"M","L")))</f>
        <v/>
      </c>
      <c r="F20" s="3">
        <f>IF(E20="","",IF(E20="H","MANDATORY — Escalate immediately",IF(E20="M","ACTION REQUIRED — Plan within 90 days","REVIEW — Low priority")))</f>
        <v/>
      </c>
    </row>
    <row r="21">
      <c r="A21" s="3" t="n"/>
      <c r="B21" s="3" t="n"/>
      <c r="C21" s="3" t="n"/>
      <c r="D21" s="3" t="n"/>
      <c r="E21" s="4">
        <f>IF(B21="","",IF(OR(B21&gt;=9,C21&gt;=4,D21&lt;=1),"H",IF(OR(B21&gt;=5,C21&gt;=2),"M","L")))</f>
        <v/>
      </c>
      <c r="F21" s="3">
        <f>IF(E21="","",IF(E21="H","MANDATORY — Escalate immediately",IF(E21="M","ACTION REQUIRED — Plan within 90 days","REVIEW — Low priority")))</f>
        <v/>
      </c>
    </row>
    <row r="22">
      <c r="A22" s="3" t="n"/>
      <c r="B22" s="3" t="n"/>
      <c r="C22" s="3" t="n"/>
      <c r="D22" s="3" t="n"/>
      <c r="E22" s="4">
        <f>IF(B22="","",IF(OR(B22&gt;=9,C22&gt;=4,D22&lt;=1),"H",IF(OR(B22&gt;=5,C22&gt;=2),"M","L")))</f>
        <v/>
      </c>
      <c r="F22" s="3">
        <f>IF(E22="","",IF(E22="H","MANDATORY — Escalate immediately",IF(E22="M","ACTION REQUIRED — Plan within 90 days","REVIEW — Low priority")))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2026-08-05T15:49:14Z</dcterms:created>
  <dcterms:modified xmlns:dcterms="http://purl.org/dc/terms/" xmlns:xsi="http://www.w3.org/2001/XMLSchema-instance" xsi:type="dcterms:W3CDTF">2026-08-05T15:49:14Z</dcterms:modified>
</cp:coreProperties>
</file>