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sz val="9"/>
    </font>
    <font>
      <b val="1"/>
      <color rgb="00FFFFFF"/>
      <sz val="10"/>
    </font>
    <font>
      <b val="1"/>
      <color rgb="00111827"/>
      <sz val="9"/>
    </font>
    <font>
      <color rgb="00111827"/>
      <sz val="9"/>
    </font>
    <font>
      <color rgb="00dc2626"/>
      <sz val="9"/>
    </font>
    <font>
      <color rgb="002563eb"/>
      <sz val="9"/>
    </font>
    <font>
      <b val="1"/>
      <sz val="9"/>
    </font>
    <font>
      <b val="1"/>
      <color rgb="00065f46"/>
      <sz val="9"/>
    </font>
  </fonts>
  <fills count="4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0" fillId="0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 ht="36" customHeight="1">
      <c r="A1" s="1" t="inlineStr">
        <is>
          <t>PPAP INITIAL PROCESS CAPABILITY STUDY — AIAG 4th Edition (Element 11)</t>
        </is>
      </c>
    </row>
    <row r="2" ht="18" customHeight="1">
      <c r="A2" s="2" t="inlineStr">
        <is>
          <t>Part No: ___  |  Part Name: ___  |  Operation: ___  |  Machine / Tool: ___  |  Sample Size: 30-300 pcs  |  Date: ___</t>
        </is>
      </c>
    </row>
    <row r="3" ht="22" customHeight="1">
      <c r="A3" s="3" t="inlineStr">
        <is>
          <t>#</t>
        </is>
      </c>
      <c r="B3" s="3" t="inlineStr">
        <is>
          <t>Characteristic</t>
        </is>
      </c>
      <c r="C3" s="3" t="inlineStr">
        <is>
          <t>Nominal</t>
        </is>
      </c>
      <c r="D3" s="3" t="inlineStr">
        <is>
          <t>USL</t>
        </is>
      </c>
      <c r="E3" s="3" t="inlineStr">
        <is>
          <t>LSL</t>
        </is>
      </c>
      <c r="F3" s="3" t="inlineStr">
        <is>
          <t>Mean (X̄)</t>
        </is>
      </c>
      <c r="G3" s="3" t="inlineStr">
        <is>
          <t>Std Dev (σ)</t>
        </is>
      </c>
      <c r="H3" s="3" t="inlineStr">
        <is>
          <t>Cpk / Ppk</t>
        </is>
      </c>
    </row>
    <row r="4" ht="20" customHeight="1">
      <c r="A4" s="4" t="n">
        <v>1</v>
      </c>
      <c r="B4" s="5" t="inlineStr">
        <is>
          <t>Overall Length</t>
        </is>
      </c>
      <c r="C4" s="6" t="inlineStr">
        <is>
          <t>25.00</t>
        </is>
      </c>
      <c r="D4" s="7" t="inlineStr">
        <is>
          <t>25.30</t>
        </is>
      </c>
      <c r="E4" s="8" t="inlineStr">
        <is>
          <t>24.70</t>
        </is>
      </c>
      <c r="F4" s="6" t="inlineStr"/>
      <c r="G4" s="6" t="inlineStr"/>
      <c r="H4" s="9">
        <f>IF(F4="","",IF(AND(G4&gt;0,D4&lt;&gt;"",E4&lt;&gt;""),MIN((D4-F4)/(3*G4),(F4-E4)/(3*G4)),"N/A"))</f>
        <v/>
      </c>
    </row>
    <row r="5" ht="20" customHeight="1">
      <c r="A5" s="4" t="n">
        <v>2</v>
      </c>
      <c r="B5" s="5" t="inlineStr">
        <is>
          <t>Hole Diameter</t>
        </is>
      </c>
      <c r="C5" s="6" t="inlineStr">
        <is>
          <t>12.00</t>
        </is>
      </c>
      <c r="D5" s="7" t="inlineStr">
        <is>
          <t>12.05</t>
        </is>
      </c>
      <c r="E5" s="8" t="inlineStr">
        <is>
          <t>11.95</t>
        </is>
      </c>
      <c r="F5" s="6" t="inlineStr"/>
      <c r="G5" s="6" t="inlineStr"/>
      <c r="H5" s="9">
        <f>IF(F5="","",IF(AND(G5&gt;0,D5&lt;&gt;"",E5&lt;&gt;""),MIN((D5-F5)/(3*G5),(F5-E5)/(3*G5)),"N/A"))</f>
        <v/>
      </c>
    </row>
    <row r="6" ht="20" customHeight="1">
      <c r="A6" s="4" t="n">
        <v>3</v>
      </c>
      <c r="B6" s="5" t="inlineStr">
        <is>
          <t>Flatness GD&amp;T</t>
        </is>
      </c>
      <c r="C6" s="6" t="inlineStr">
        <is>
          <t>0.00</t>
        </is>
      </c>
      <c r="D6" s="7" t="inlineStr">
        <is>
          <t>0.10</t>
        </is>
      </c>
      <c r="E6" s="8" t="inlineStr">
        <is>
          <t>-</t>
        </is>
      </c>
      <c r="F6" s="6" t="inlineStr"/>
      <c r="G6" s="6" t="inlineStr"/>
      <c r="H6" s="9">
        <f>IF(F6="","",IF(AND(G6&gt;0,D6&lt;&gt;"",E6&lt;&gt;""),MIN((D6-F6)/(3*G6),(F6-E6)/(3*G6)),"N/A"))</f>
        <v/>
      </c>
    </row>
    <row r="7" ht="20" customHeight="1">
      <c r="A7" s="4" t="n">
        <v>4</v>
      </c>
      <c r="B7" s="5" t="inlineStr">
        <is>
          <t>Thread Pitch Dia</t>
        </is>
      </c>
      <c r="C7" s="6" t="inlineStr">
        <is>
          <t>M8</t>
        </is>
      </c>
      <c r="D7" s="7" t="inlineStr"/>
      <c r="E7" s="8" t="inlineStr"/>
      <c r="F7" s="6" t="inlineStr"/>
      <c r="G7" s="6" t="inlineStr"/>
      <c r="H7" s="9">
        <f>IF(F7="","",IF(AND(G7&gt;0,D7&lt;&gt;"",E7&lt;&gt;""),MIN((D7-F7)/(3*G7),(F7-E7)/(3*G7)),"N/A"))</f>
        <v/>
      </c>
    </row>
    <row r="8" ht="20" customHeight="1">
      <c r="A8" s="4" t="n">
        <v>5</v>
      </c>
      <c r="B8" s="5" t="inlineStr">
        <is>
          <t>Surface Roughness Ra</t>
        </is>
      </c>
      <c r="C8" s="6" t="inlineStr">
        <is>
          <t>1.6</t>
        </is>
      </c>
      <c r="D8" s="7" t="inlineStr">
        <is>
          <t>3.2</t>
        </is>
      </c>
      <c r="E8" s="8" t="inlineStr">
        <is>
          <t>0</t>
        </is>
      </c>
      <c r="F8" s="6" t="inlineStr"/>
      <c r="G8" s="6" t="inlineStr"/>
      <c r="H8" s="9">
        <f>IF(F8="","",IF(AND(G8&gt;0,D8&lt;&gt;"",E8&lt;&gt;""),MIN((D8-F8)/(3*G8),(F8-E8)/(3*G8)),"N/A"))</f>
        <v/>
      </c>
    </row>
    <row r="9" ht="20" customHeight="1">
      <c r="A9" s="4" t="n">
        <v>6</v>
      </c>
      <c r="B9" s="5" t="inlineStr">
        <is>
          <t>Hardness HRC</t>
        </is>
      </c>
      <c r="C9" s="6" t="inlineStr">
        <is>
          <t>45</t>
        </is>
      </c>
      <c r="D9" s="7" t="inlineStr">
        <is>
          <t>55</t>
        </is>
      </c>
      <c r="E9" s="8" t="inlineStr">
        <is>
          <t>35</t>
        </is>
      </c>
      <c r="F9" s="6" t="inlineStr"/>
      <c r="G9" s="6" t="inlineStr"/>
      <c r="H9" s="9">
        <f>IF(F9="","",IF(AND(G9&gt;0,D9&lt;&gt;"",E9&lt;&gt;""),MIN((D9-F9)/(3*G9),(F9-E9)/(3*G9)),"N/A"))</f>
        <v/>
      </c>
    </row>
    <row r="10" ht="20" customHeight="1">
      <c r="A10" s="4" t="n">
        <v>7</v>
      </c>
      <c r="B10" s="5" t="inlineStr">
        <is>
          <t>Wall Thickness</t>
        </is>
      </c>
      <c r="C10" s="6" t="inlineStr">
        <is>
          <t>3.00</t>
        </is>
      </c>
      <c r="D10" s="7" t="inlineStr">
        <is>
          <t>3.20</t>
        </is>
      </c>
      <c r="E10" s="8" t="inlineStr">
        <is>
          <t>2.80</t>
        </is>
      </c>
      <c r="F10" s="6" t="inlineStr"/>
      <c r="G10" s="6" t="inlineStr"/>
      <c r="H10" s="9">
        <f>IF(F10="","",IF(AND(G10&gt;0,D10&lt;&gt;"",E10&lt;&gt;""),MIN((D10-F10)/(3*G10),(F10-E10)/(3*G10)),"N/A"))</f>
        <v/>
      </c>
    </row>
    <row r="11" ht="20" customHeight="1">
      <c r="A11" s="4" t="n">
        <v>8</v>
      </c>
      <c r="B11" s="5" t="inlineStr">
        <is>
          <t>Weight</t>
        </is>
      </c>
      <c r="C11" s="6" t="inlineStr">
        <is>
          <t>250g</t>
        </is>
      </c>
      <c r="D11" s="7" t="inlineStr">
        <is>
          <t>255g</t>
        </is>
      </c>
      <c r="E11" s="8" t="inlineStr">
        <is>
          <t>245g</t>
        </is>
      </c>
      <c r="F11" s="6" t="inlineStr"/>
      <c r="G11" s="6" t="inlineStr"/>
      <c r="H11" s="9">
        <f>IF(F11="","",IF(AND(G11&gt;0,D11&lt;&gt;"",E11&lt;&gt;""),MIN((D11-F11)/(3*G11),(F11-E11)/(3*G11)),"N/A"))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1" t="inlineStr">
        <is>
          <t>ACCEPTANCE CRITERIA: Cpk ≥ 1.67 for CC characteristics | Cpk ≥ 1.33 for all others | Ppk ≥ 1.67 for new processes</t>
        </is>
      </c>
      <c r="B13" s="10" t="n"/>
      <c r="C13" s="10" t="n"/>
      <c r="D13" s="10" t="n"/>
      <c r="E13" s="10" t="n"/>
      <c r="F13" s="10" t="n"/>
      <c r="G13" s="10" t="n"/>
      <c r="H13" s="10" t="n"/>
    </row>
  </sheetData>
  <mergeCells count="3">
    <mergeCell ref="A13:H1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2026-08-03T18:51:18Z</dcterms:created>
  <dcterms:modified xmlns:dcterms="http://purl.org/dc/terms/" xmlns:xsi="http://www.w3.org/2001/XMLSchema-instance" xsi:type="dcterms:W3CDTF">2026-08-03T18:51:18Z</dcterms:modified>
</cp:coreProperties>
</file>