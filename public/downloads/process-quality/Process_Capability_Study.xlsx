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e3a5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334155"/>
      </patternFill>
    </fill>
    <fill>
      <patternFill patternType="solid">
        <fgColor rgb="001e3a5f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</cols>
  <sheetData>
    <row r="1" ht="36" customHeight="1">
      <c r="A1" s="1" t="inlineStr">
        <is>
          <t>PROCESS CAPABILITY STUDY</t>
        </is>
      </c>
    </row>
    <row r="2" ht="18" customHeight="1">
      <c r="A2" s="2" t="inlineStr">
        <is>
          <t>Cp Cpk Pp Ppk | AIAG SPC | IATF 16949 Cl.8.1.1 | QMOS</t>
        </is>
      </c>
    </row>
    <row r="3" ht="20" customHeight="1">
      <c r="A3" s="3" t="inlineStr">
        <is>
          <t>Sample #</t>
        </is>
      </c>
      <c r="B3" s="3" t="inlineStr">
        <is>
          <t>Value</t>
        </is>
      </c>
      <c r="C3" s="3" t="inlineStr">
        <is>
          <t>Subgroup</t>
        </is>
      </c>
      <c r="E3" s="4" t="inlineStr">
        <is>
          <t>RESULTS SUMMARY</t>
        </is>
      </c>
    </row>
    <row r="4" ht="16" customHeight="1">
      <c r="A4" s="5" t="n">
        <v>1</v>
      </c>
      <c r="B4" s="5" t="inlineStr"/>
      <c r="C4" s="5" t="inlineStr"/>
    </row>
    <row r="5" ht="16" customHeight="1">
      <c r="A5" s="5" t="n">
        <v>2</v>
      </c>
      <c r="B5" s="5" t="inlineStr"/>
      <c r="C5" s="5" t="inlineStr"/>
    </row>
    <row r="6" ht="16" customHeight="1">
      <c r="A6" s="5" t="n">
        <v>3</v>
      </c>
      <c r="B6" s="5" t="inlineStr"/>
      <c r="C6" s="5" t="inlineStr"/>
    </row>
    <row r="7" ht="16" customHeight="1">
      <c r="A7" s="5" t="n">
        <v>4</v>
      </c>
      <c r="B7" s="5" t="inlineStr"/>
      <c r="C7" s="5" t="inlineStr"/>
      <c r="E7" s="6" t="inlineStr">
        <is>
          <t>n (count)</t>
        </is>
      </c>
      <c r="F7" s="7">
        <f>COUNTA(B4:B33)</f>
        <v/>
      </c>
    </row>
    <row r="8" ht="16" customHeight="1">
      <c r="A8" s="5" t="n">
        <v>5</v>
      </c>
      <c r="B8" s="5" t="inlineStr"/>
      <c r="C8" s="5" t="inlineStr"/>
      <c r="E8" s="6" t="inlineStr">
        <is>
          <t>Mean (X-bar)</t>
        </is>
      </c>
      <c r="F8" s="7">
        <f>AVERAGE(B4:B33)</f>
        <v/>
      </c>
    </row>
    <row r="9" ht="16" customHeight="1">
      <c r="A9" s="5" t="n">
        <v>6</v>
      </c>
      <c r="B9" s="5" t="inlineStr"/>
      <c r="C9" s="5" t="inlineStr"/>
      <c r="E9" s="6" t="inlineStr">
        <is>
          <t>Std Dev (s)</t>
        </is>
      </c>
      <c r="F9" s="7">
        <f>STDEV(B4:B33)</f>
        <v/>
      </c>
    </row>
    <row r="10" ht="16" customHeight="1">
      <c r="A10" s="5" t="n">
        <v>7</v>
      </c>
      <c r="B10" s="5" t="inlineStr"/>
      <c r="C10" s="5" t="inlineStr"/>
      <c r="E10" s="6" t="inlineStr">
        <is>
          <t>USL</t>
        </is>
      </c>
      <c r="F10" s="7" t="inlineStr"/>
    </row>
    <row r="11" ht="16" customHeight="1">
      <c r="A11" s="5" t="n">
        <v>8</v>
      </c>
      <c r="B11" s="5" t="inlineStr"/>
      <c r="C11" s="5" t="inlineStr"/>
      <c r="E11" s="6" t="inlineStr">
        <is>
          <t>LSL</t>
        </is>
      </c>
      <c r="F11" s="7" t="inlineStr"/>
    </row>
    <row r="12" ht="16" customHeight="1">
      <c r="A12" s="5" t="n">
        <v>9</v>
      </c>
      <c r="B12" s="5" t="inlineStr"/>
      <c r="C12" s="5" t="inlineStr"/>
      <c r="E12" s="6" t="inlineStr">
        <is>
          <t>Cp</t>
        </is>
      </c>
      <c r="F12" s="7">
        <f>(E7-E8)/(6*E6)</f>
        <v/>
      </c>
    </row>
    <row r="13" ht="16" customHeight="1">
      <c r="A13" s="5" t="n">
        <v>10</v>
      </c>
      <c r="B13" s="5" t="inlineStr"/>
      <c r="C13" s="5" t="inlineStr"/>
      <c r="E13" s="6" t="inlineStr">
        <is>
          <t>Cpk</t>
        </is>
      </c>
      <c r="F13" s="7">
        <f>MIN((E7-E5)/(3*E6),(E5-E8)/(3*E6))</f>
        <v/>
      </c>
    </row>
    <row r="14" ht="16" customHeight="1">
      <c r="A14" s="5" t="n">
        <v>11</v>
      </c>
      <c r="B14" s="5" t="inlineStr"/>
      <c r="C14" s="5" t="inlineStr"/>
    </row>
    <row r="15" ht="16" customHeight="1">
      <c r="A15" s="5" t="n">
        <v>12</v>
      </c>
      <c r="B15" s="5" t="inlineStr"/>
      <c r="C15" s="5" t="inlineStr"/>
    </row>
    <row r="16" ht="16" customHeight="1">
      <c r="A16" s="5" t="n">
        <v>13</v>
      </c>
      <c r="B16" s="5" t="inlineStr"/>
      <c r="C16" s="5" t="inlineStr"/>
    </row>
    <row r="17" ht="16" customHeight="1">
      <c r="A17" s="5" t="n">
        <v>14</v>
      </c>
      <c r="B17" s="5" t="inlineStr"/>
      <c r="C17" s="5" t="inlineStr"/>
    </row>
    <row r="18" ht="16" customHeight="1">
      <c r="A18" s="5" t="n">
        <v>15</v>
      </c>
      <c r="B18" s="5" t="inlineStr"/>
      <c r="C18" s="5" t="inlineStr"/>
    </row>
    <row r="19" ht="16" customHeight="1">
      <c r="A19" s="5" t="n">
        <v>16</v>
      </c>
      <c r="B19" s="5" t="inlineStr"/>
      <c r="C19" s="5" t="inlineStr"/>
    </row>
    <row r="20" ht="16" customHeight="1">
      <c r="A20" s="5" t="n">
        <v>17</v>
      </c>
      <c r="B20" s="5" t="inlineStr"/>
      <c r="C20" s="5" t="inlineStr"/>
    </row>
    <row r="21" ht="16" customHeight="1">
      <c r="A21" s="5" t="n">
        <v>18</v>
      </c>
      <c r="B21" s="5" t="inlineStr"/>
      <c r="C21" s="5" t="inlineStr"/>
    </row>
    <row r="22" ht="16" customHeight="1">
      <c r="A22" s="5" t="n">
        <v>19</v>
      </c>
      <c r="B22" s="5" t="inlineStr"/>
      <c r="C22" s="5" t="inlineStr"/>
    </row>
    <row r="23" ht="16" customHeight="1">
      <c r="A23" s="5" t="n">
        <v>20</v>
      </c>
      <c r="B23" s="5" t="inlineStr"/>
      <c r="C23" s="5" t="inlineStr"/>
    </row>
    <row r="24" ht="16" customHeight="1">
      <c r="A24" s="5" t="n">
        <v>21</v>
      </c>
      <c r="B24" s="5" t="inlineStr"/>
      <c r="C24" s="5" t="inlineStr"/>
    </row>
    <row r="25" ht="16" customHeight="1">
      <c r="A25" s="5" t="n">
        <v>22</v>
      </c>
      <c r="B25" s="5" t="inlineStr"/>
      <c r="C25" s="5" t="inlineStr"/>
    </row>
    <row r="26" ht="16" customHeight="1">
      <c r="A26" s="5" t="n">
        <v>23</v>
      </c>
      <c r="B26" s="5" t="inlineStr"/>
      <c r="C26" s="5" t="inlineStr"/>
    </row>
    <row r="27" ht="16" customHeight="1">
      <c r="A27" s="5" t="n">
        <v>24</v>
      </c>
      <c r="B27" s="5" t="inlineStr"/>
      <c r="C27" s="5" t="inlineStr"/>
    </row>
    <row r="28" ht="16" customHeight="1">
      <c r="A28" s="5" t="n">
        <v>25</v>
      </c>
      <c r="B28" s="5" t="inlineStr"/>
      <c r="C28" s="5" t="inlineStr"/>
    </row>
    <row r="29" ht="16" customHeight="1">
      <c r="A29" s="5" t="n">
        <v>26</v>
      </c>
      <c r="B29" s="5" t="inlineStr"/>
      <c r="C29" s="5" t="inlineStr"/>
    </row>
    <row r="30" ht="16" customHeight="1">
      <c r="A30" s="5" t="n">
        <v>27</v>
      </c>
      <c r="B30" s="5" t="inlineStr"/>
      <c r="C30" s="5" t="inlineStr"/>
    </row>
    <row r="31" ht="16" customHeight="1">
      <c r="A31" s="5" t="n">
        <v>28</v>
      </c>
      <c r="B31" s="5" t="inlineStr"/>
      <c r="C31" s="5" t="inlineStr"/>
    </row>
    <row r="32" ht="16" customHeight="1">
      <c r="A32" s="5" t="n">
        <v>29</v>
      </c>
      <c r="B32" s="5" t="inlineStr"/>
      <c r="C32" s="5" t="inlineStr"/>
    </row>
    <row r="33" ht="16" customHeight="1">
      <c r="A33" s="5" t="n">
        <v>30</v>
      </c>
      <c r="B33" s="5" t="inlineStr"/>
      <c r="C33" s="5" t="inlineStr"/>
    </row>
  </sheetData>
  <mergeCells count="3">
    <mergeCell ref="A1:C1"/>
    <mergeCell ref="A2:C2"/>
    <mergeCell ref="E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