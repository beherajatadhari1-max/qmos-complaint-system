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-bar &amp; R Chart" sheetId="1" state="visible" r:id="rId1"/>
    <sheet xmlns:r="http://schemas.openxmlformats.org/officeDocument/2006/relationships" name="Capability Study" sheetId="2" state="visible" r:id="rId2"/>
    <sheet xmlns:r="http://schemas.openxmlformats.org/officeDocument/2006/relationships" name="Control Chart Consta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b val="1"/>
      <color rgb="000E7490"/>
      <sz val="9"/>
    </font>
    <font>
      <b val="1"/>
      <color rgb="00DC2626"/>
      <sz val="9"/>
    </font>
    <font>
      <b val="1"/>
      <color rgb="001D4ED8"/>
      <sz val="9"/>
    </font>
    <font>
      <sz val="9"/>
    </font>
    <font>
      <b val="1"/>
      <color rgb="00FFFFFF"/>
      <sz val="8"/>
    </font>
  </fonts>
  <fills count="6">
    <fill>
      <patternFill/>
    </fill>
    <fill>
      <patternFill patternType="gray125"/>
    </fill>
    <fill>
      <patternFill patternType="solid">
        <fgColor rgb="000891B2"/>
      </patternFill>
    </fill>
    <fill>
      <patternFill patternType="solid">
        <fgColor rgb="001E293B"/>
      </patternFill>
    </fill>
    <fill>
      <patternFill patternType="solid">
        <fgColor rgb="00F1F5F9"/>
      </patternFill>
    </fill>
    <fill>
      <patternFill patternType="solid">
        <fgColor rgb="00ECF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4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3" borderId="1" pivotButton="0" quotePrefix="0" xfId="0"/>
    <xf numFmtId="0" fontId="3" fillId="5" borderId="1" pivotButton="0" quotePrefix="0" xfId="0"/>
    <xf numFmtId="0" fontId="7" fillId="0" borderId="1" pivotButton="0" quotePrefix="0" xfId="0"/>
    <xf numFmtId="0" fontId="8" fillId="3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SPC CONTROL CHART — X-bar &amp; R Chart  |  AIAG SPC 2nd Edition</t>
        </is>
      </c>
    </row>
    <row r="2">
      <c r="A2" s="2" t="inlineStr">
        <is>
          <t>Subgroup</t>
        </is>
      </c>
      <c r="B2" s="3" t="inlineStr">
        <is>
          <t>X1</t>
        </is>
      </c>
      <c r="C2" s="3" t="inlineStr">
        <is>
          <t>X2</t>
        </is>
      </c>
      <c r="D2" s="3" t="inlineStr">
        <is>
          <t>X3</t>
        </is>
      </c>
      <c r="E2" s="3" t="inlineStr">
        <is>
          <t>X4</t>
        </is>
      </c>
      <c r="F2" s="3" t="inlineStr">
        <is>
          <t>X5</t>
        </is>
      </c>
      <c r="G2" s="2" t="inlineStr">
        <is>
          <t>X-bar</t>
        </is>
      </c>
      <c r="H2" s="2" t="inlineStr">
        <is>
          <t>Range</t>
        </is>
      </c>
    </row>
    <row r="3">
      <c r="A3" s="4" t="n">
        <v>1</v>
      </c>
      <c r="B3" s="5" t="inlineStr"/>
      <c r="C3" s="5" t="inlineStr"/>
      <c r="D3" s="5" t="inlineStr"/>
      <c r="E3" s="5" t="inlineStr"/>
      <c r="F3" s="5" t="inlineStr"/>
      <c r="G3" s="6">
        <f>AVERAGE(B3:F3)</f>
        <v/>
      </c>
      <c r="H3" s="7">
        <f>MAX(B3:F3)-MIN(B3:F3)</f>
        <v/>
      </c>
    </row>
    <row r="4">
      <c r="A4" s="4" t="n">
        <v>2</v>
      </c>
      <c r="B4" s="5" t="inlineStr"/>
      <c r="C4" s="5" t="inlineStr"/>
      <c r="D4" s="5" t="inlineStr"/>
      <c r="E4" s="5" t="inlineStr"/>
      <c r="F4" s="5" t="inlineStr"/>
      <c r="G4" s="6">
        <f>AVERAGE(B4:F4)</f>
        <v/>
      </c>
      <c r="H4" s="7">
        <f>MAX(B4:F4)-MIN(B4:F4)</f>
        <v/>
      </c>
    </row>
    <row r="5">
      <c r="A5" s="4" t="n">
        <v>3</v>
      </c>
      <c r="B5" s="5" t="inlineStr"/>
      <c r="C5" s="5" t="inlineStr"/>
      <c r="D5" s="5" t="inlineStr"/>
      <c r="E5" s="5" t="inlineStr"/>
      <c r="F5" s="5" t="inlineStr"/>
      <c r="G5" s="6">
        <f>AVERAGE(B5:F5)</f>
        <v/>
      </c>
      <c r="H5" s="7">
        <f>MAX(B5:F5)-MIN(B5:F5)</f>
        <v/>
      </c>
    </row>
    <row r="6">
      <c r="A6" s="4" t="n">
        <v>4</v>
      </c>
      <c r="B6" s="5" t="inlineStr"/>
      <c r="C6" s="5" t="inlineStr"/>
      <c r="D6" s="5" t="inlineStr"/>
      <c r="E6" s="5" t="inlineStr"/>
      <c r="F6" s="5" t="inlineStr"/>
      <c r="G6" s="6">
        <f>AVERAGE(B6:F6)</f>
        <v/>
      </c>
      <c r="H6" s="7">
        <f>MAX(B6:F6)-MIN(B6:F6)</f>
        <v/>
      </c>
    </row>
    <row r="7">
      <c r="A7" s="4" t="n">
        <v>5</v>
      </c>
      <c r="B7" s="5" t="inlineStr"/>
      <c r="C7" s="5" t="inlineStr"/>
      <c r="D7" s="5" t="inlineStr"/>
      <c r="E7" s="5" t="inlineStr"/>
      <c r="F7" s="5" t="inlineStr"/>
      <c r="G7" s="6">
        <f>AVERAGE(B7:F7)</f>
        <v/>
      </c>
      <c r="H7" s="7">
        <f>MAX(B7:F7)-MIN(B7:F7)</f>
        <v/>
      </c>
    </row>
    <row r="8">
      <c r="A8" s="4" t="n">
        <v>6</v>
      </c>
      <c r="B8" s="5" t="inlineStr"/>
      <c r="C8" s="5" t="inlineStr"/>
      <c r="D8" s="5" t="inlineStr"/>
      <c r="E8" s="5" t="inlineStr"/>
      <c r="F8" s="5" t="inlineStr"/>
      <c r="G8" s="6">
        <f>AVERAGE(B8:F8)</f>
        <v/>
      </c>
      <c r="H8" s="7">
        <f>MAX(B8:F8)-MIN(B8:F8)</f>
        <v/>
      </c>
    </row>
    <row r="9">
      <c r="A9" s="4" t="n">
        <v>7</v>
      </c>
      <c r="B9" s="5" t="inlineStr"/>
      <c r="C9" s="5" t="inlineStr"/>
      <c r="D9" s="5" t="inlineStr"/>
      <c r="E9" s="5" t="inlineStr"/>
      <c r="F9" s="5" t="inlineStr"/>
      <c r="G9" s="6">
        <f>AVERAGE(B9:F9)</f>
        <v/>
      </c>
      <c r="H9" s="7">
        <f>MAX(B9:F9)-MIN(B9:F9)</f>
        <v/>
      </c>
    </row>
    <row r="10">
      <c r="A10" s="4" t="n">
        <v>8</v>
      </c>
      <c r="B10" s="5" t="inlineStr"/>
      <c r="C10" s="5" t="inlineStr"/>
      <c r="D10" s="5" t="inlineStr"/>
      <c r="E10" s="5" t="inlineStr"/>
      <c r="F10" s="5" t="inlineStr"/>
      <c r="G10" s="6">
        <f>AVERAGE(B10:F10)</f>
        <v/>
      </c>
      <c r="H10" s="7">
        <f>MAX(B10:F10)-MIN(B10:F10)</f>
        <v/>
      </c>
    </row>
    <row r="11">
      <c r="A11" s="4" t="n">
        <v>9</v>
      </c>
      <c r="B11" s="5" t="inlineStr"/>
      <c r="C11" s="5" t="inlineStr"/>
      <c r="D11" s="5" t="inlineStr"/>
      <c r="E11" s="5" t="inlineStr"/>
      <c r="F11" s="5" t="inlineStr"/>
      <c r="G11" s="6">
        <f>AVERAGE(B11:F11)</f>
        <v/>
      </c>
      <c r="H11" s="7">
        <f>MAX(B11:F11)-MIN(B11:F11)</f>
        <v/>
      </c>
    </row>
    <row r="12">
      <c r="A12" s="4" t="n">
        <v>10</v>
      </c>
      <c r="B12" s="5" t="inlineStr"/>
      <c r="C12" s="5" t="inlineStr"/>
      <c r="D12" s="5" t="inlineStr"/>
      <c r="E12" s="5" t="inlineStr"/>
      <c r="F12" s="5" t="inlineStr"/>
      <c r="G12" s="6">
        <f>AVERAGE(B12:F12)</f>
        <v/>
      </c>
      <c r="H12" s="7">
        <f>MAX(B12:F12)-MIN(B12:F12)</f>
        <v/>
      </c>
    </row>
    <row r="13">
      <c r="A13" s="4" t="n">
        <v>11</v>
      </c>
      <c r="B13" s="5" t="inlineStr"/>
      <c r="C13" s="5" t="inlineStr"/>
      <c r="D13" s="5" t="inlineStr"/>
      <c r="E13" s="5" t="inlineStr"/>
      <c r="F13" s="5" t="inlineStr"/>
      <c r="G13" s="6">
        <f>AVERAGE(B13:F13)</f>
        <v/>
      </c>
      <c r="H13" s="7">
        <f>MAX(B13:F13)-MIN(B13:F13)</f>
        <v/>
      </c>
    </row>
    <row r="14">
      <c r="A14" s="4" t="n">
        <v>12</v>
      </c>
      <c r="B14" s="5" t="inlineStr"/>
      <c r="C14" s="5" t="inlineStr"/>
      <c r="D14" s="5" t="inlineStr"/>
      <c r="E14" s="5" t="inlineStr"/>
      <c r="F14" s="5" t="inlineStr"/>
      <c r="G14" s="6">
        <f>AVERAGE(B14:F14)</f>
        <v/>
      </c>
      <c r="H14" s="7">
        <f>MAX(B14:F14)-MIN(B14:F14)</f>
        <v/>
      </c>
    </row>
    <row r="15">
      <c r="A15" s="4" t="n">
        <v>13</v>
      </c>
      <c r="B15" s="5" t="inlineStr"/>
      <c r="C15" s="5" t="inlineStr"/>
      <c r="D15" s="5" t="inlineStr"/>
      <c r="E15" s="5" t="inlineStr"/>
      <c r="F15" s="5" t="inlineStr"/>
      <c r="G15" s="6">
        <f>AVERAGE(B15:F15)</f>
        <v/>
      </c>
      <c r="H15" s="7">
        <f>MAX(B15:F15)-MIN(B15:F15)</f>
        <v/>
      </c>
    </row>
    <row r="16">
      <c r="A16" s="4" t="n">
        <v>14</v>
      </c>
      <c r="B16" s="5" t="inlineStr"/>
      <c r="C16" s="5" t="inlineStr"/>
      <c r="D16" s="5" t="inlineStr"/>
      <c r="E16" s="5" t="inlineStr"/>
      <c r="F16" s="5" t="inlineStr"/>
      <c r="G16" s="6">
        <f>AVERAGE(B16:F16)</f>
        <v/>
      </c>
      <c r="H16" s="7">
        <f>MAX(B16:F16)-MIN(B16:F16)</f>
        <v/>
      </c>
    </row>
    <row r="17">
      <c r="A17" s="4" t="n">
        <v>15</v>
      </c>
      <c r="B17" s="5" t="inlineStr"/>
      <c r="C17" s="5" t="inlineStr"/>
      <c r="D17" s="5" t="inlineStr"/>
      <c r="E17" s="5" t="inlineStr"/>
      <c r="F17" s="5" t="inlineStr"/>
      <c r="G17" s="6">
        <f>AVERAGE(B17:F17)</f>
        <v/>
      </c>
      <c r="H17" s="7">
        <f>MAX(B17:F17)-MIN(B17:F17)</f>
        <v/>
      </c>
    </row>
    <row r="18">
      <c r="A18" s="4" t="n">
        <v>16</v>
      </c>
      <c r="B18" s="5" t="inlineStr"/>
      <c r="C18" s="5" t="inlineStr"/>
      <c r="D18" s="5" t="inlineStr"/>
      <c r="E18" s="5" t="inlineStr"/>
      <c r="F18" s="5" t="inlineStr"/>
      <c r="G18" s="6">
        <f>AVERAGE(B18:F18)</f>
        <v/>
      </c>
      <c r="H18" s="7">
        <f>MAX(B18:F18)-MIN(B18:F18)</f>
        <v/>
      </c>
    </row>
    <row r="19">
      <c r="A19" s="4" t="n">
        <v>17</v>
      </c>
      <c r="B19" s="5" t="inlineStr"/>
      <c r="C19" s="5" t="inlineStr"/>
      <c r="D19" s="5" t="inlineStr"/>
      <c r="E19" s="5" t="inlineStr"/>
      <c r="F19" s="5" t="inlineStr"/>
      <c r="G19" s="6">
        <f>AVERAGE(B19:F19)</f>
        <v/>
      </c>
      <c r="H19" s="7">
        <f>MAX(B19:F19)-MIN(B19:F19)</f>
        <v/>
      </c>
    </row>
    <row r="20">
      <c r="A20" s="4" t="n">
        <v>18</v>
      </c>
      <c r="B20" s="5" t="inlineStr"/>
      <c r="C20" s="5" t="inlineStr"/>
      <c r="D20" s="5" t="inlineStr"/>
      <c r="E20" s="5" t="inlineStr"/>
      <c r="F20" s="5" t="inlineStr"/>
      <c r="G20" s="6">
        <f>AVERAGE(B20:F20)</f>
        <v/>
      </c>
      <c r="H20" s="7">
        <f>MAX(B20:F20)-MIN(B20:F20)</f>
        <v/>
      </c>
    </row>
    <row r="21">
      <c r="A21" s="4" t="n">
        <v>19</v>
      </c>
      <c r="B21" s="5" t="inlineStr"/>
      <c r="C21" s="5" t="inlineStr"/>
      <c r="D21" s="5" t="inlineStr"/>
      <c r="E21" s="5" t="inlineStr"/>
      <c r="F21" s="5" t="inlineStr"/>
      <c r="G21" s="6">
        <f>AVERAGE(B21:F21)</f>
        <v/>
      </c>
      <c r="H21" s="7">
        <f>MAX(B21:F21)-MIN(B21:F21)</f>
        <v/>
      </c>
    </row>
    <row r="22">
      <c r="A22" s="4" t="n">
        <v>20</v>
      </c>
      <c r="B22" s="5" t="inlineStr"/>
      <c r="C22" s="5" t="inlineStr"/>
      <c r="D22" s="5" t="inlineStr"/>
      <c r="E22" s="5" t="inlineStr"/>
      <c r="F22" s="5" t="inlineStr"/>
      <c r="G22" s="6">
        <f>AVERAGE(B22:F22)</f>
        <v/>
      </c>
      <c r="H22" s="7">
        <f>MAX(B22:F22)-MIN(B22:F22)</f>
        <v/>
      </c>
    </row>
    <row r="23">
      <c r="A23" s="4" t="n">
        <v>21</v>
      </c>
      <c r="B23" s="5" t="inlineStr"/>
      <c r="C23" s="5" t="inlineStr"/>
      <c r="D23" s="5" t="inlineStr"/>
      <c r="E23" s="5" t="inlineStr"/>
      <c r="F23" s="5" t="inlineStr"/>
      <c r="G23" s="6">
        <f>AVERAGE(B23:F23)</f>
        <v/>
      </c>
      <c r="H23" s="7">
        <f>MAX(B23:F23)-MIN(B23:F23)</f>
        <v/>
      </c>
    </row>
    <row r="24">
      <c r="A24" s="4" t="n">
        <v>22</v>
      </c>
      <c r="B24" s="5" t="inlineStr"/>
      <c r="C24" s="5" t="inlineStr"/>
      <c r="D24" s="5" t="inlineStr"/>
      <c r="E24" s="5" t="inlineStr"/>
      <c r="F24" s="5" t="inlineStr"/>
      <c r="G24" s="6">
        <f>AVERAGE(B24:F24)</f>
        <v/>
      </c>
      <c r="H24" s="7">
        <f>MAX(B24:F24)-MIN(B24:F24)</f>
        <v/>
      </c>
    </row>
    <row r="25">
      <c r="A25" s="4" t="n">
        <v>23</v>
      </c>
      <c r="B25" s="5" t="inlineStr"/>
      <c r="C25" s="5" t="inlineStr"/>
      <c r="D25" s="5" t="inlineStr"/>
      <c r="E25" s="5" t="inlineStr"/>
      <c r="F25" s="5" t="inlineStr"/>
      <c r="G25" s="6">
        <f>AVERAGE(B25:F25)</f>
        <v/>
      </c>
      <c r="H25" s="7">
        <f>MAX(B25:F25)-MIN(B25:F25)</f>
        <v/>
      </c>
    </row>
    <row r="26">
      <c r="A26" s="4" t="n">
        <v>24</v>
      </c>
      <c r="B26" s="5" t="inlineStr"/>
      <c r="C26" s="5" t="inlineStr"/>
      <c r="D26" s="5" t="inlineStr"/>
      <c r="E26" s="5" t="inlineStr"/>
      <c r="F26" s="5" t="inlineStr"/>
      <c r="G26" s="6">
        <f>AVERAGE(B26:F26)</f>
        <v/>
      </c>
      <c r="H26" s="7">
        <f>MAX(B26:F26)-MIN(B26:F26)</f>
        <v/>
      </c>
    </row>
    <row r="27">
      <c r="A27" s="4" t="n">
        <v>25</v>
      </c>
      <c r="B27" s="5" t="inlineStr"/>
      <c r="C27" s="5" t="inlineStr"/>
      <c r="D27" s="5" t="inlineStr"/>
      <c r="E27" s="5" t="inlineStr"/>
      <c r="F27" s="5" t="inlineStr"/>
      <c r="G27" s="6">
        <f>AVERAGE(B27:F27)</f>
        <v/>
      </c>
      <c r="H27" s="7">
        <f>MAX(B27:F27)-MIN(B27:F27)</f>
        <v/>
      </c>
    </row>
    <row r="29">
      <c r="A29" s="8" t="inlineStr">
        <is>
          <t>X-bar-bar:</t>
        </is>
      </c>
      <c r="G29" s="6">
        <f>AVERAGE(G3:G27)</f>
        <v/>
      </c>
    </row>
    <row r="30">
      <c r="A30" s="8" t="inlineStr">
        <is>
          <t>R-bar:</t>
        </is>
      </c>
      <c r="H30" s="7">
        <f>AVERAGE(H3:H27)</f>
        <v/>
      </c>
    </row>
    <row r="31">
      <c r="A31" s="8" t="inlineStr">
        <is>
          <t>UCL_X:</t>
        </is>
      </c>
      <c r="G31" s="7">
        <f>G29+0.577*H30</f>
        <v/>
      </c>
    </row>
    <row r="32">
      <c r="A32" s="8" t="inlineStr">
        <is>
          <t>LCL_X:</t>
        </is>
      </c>
      <c r="G32" s="9">
        <f>G29-0.577*H30</f>
        <v/>
      </c>
    </row>
    <row r="33">
      <c r="A33" s="8" t="inlineStr">
        <is>
          <t>UCL_R:</t>
        </is>
      </c>
      <c r="H33" s="7">
        <f>2.114*H30</f>
        <v/>
      </c>
    </row>
    <row r="34">
      <c r="A34" s="8" t="inlineStr">
        <is>
          <t>LCL_R:</t>
        </is>
      </c>
      <c r="H34" s="9" t="inlineStr">
        <is>
          <t>0 (n=5)</t>
        </is>
      </c>
    </row>
  </sheetData>
  <mergeCells count="1">
    <mergeCell ref="A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30" customWidth="1" min="3" max="3"/>
    <col width="22" customWidth="1" min="4" max="4"/>
  </cols>
  <sheetData>
    <row r="1">
      <c r="A1" s="10" t="inlineStr">
        <is>
          <t>PROCESS CAPABILITY STUDY — Cp, Cpk, Pp, Ppk</t>
        </is>
      </c>
    </row>
    <row r="2">
      <c r="A2" s="11" t="inlineStr">
        <is>
          <t>Parameter</t>
        </is>
      </c>
      <c r="B2" s="11" t="inlineStr">
        <is>
          <t>Value</t>
        </is>
      </c>
      <c r="C2" s="11" t="inlineStr">
        <is>
          <t>Formula</t>
        </is>
      </c>
      <c r="D2" s="11" t="inlineStr">
        <is>
          <t>Verdict</t>
        </is>
      </c>
    </row>
    <row r="3">
      <c r="A3" s="12" t="inlineStr">
        <is>
          <t>USL</t>
        </is>
      </c>
      <c r="B3" s="13" t="inlineStr"/>
      <c r="C3" s="13" t="inlineStr">
        <is>
          <t>Enter USL</t>
        </is>
      </c>
      <c r="D3" s="13" t="inlineStr"/>
    </row>
    <row r="4">
      <c r="A4" s="12" t="inlineStr">
        <is>
          <t>LSL</t>
        </is>
      </c>
      <c r="B4" s="13" t="inlineStr"/>
      <c r="C4" s="13" t="inlineStr">
        <is>
          <t>Enter LSL</t>
        </is>
      </c>
      <c r="D4" s="13" t="inlineStr"/>
    </row>
    <row r="5">
      <c r="A5" s="12" t="inlineStr">
        <is>
          <t>Target (T)</t>
        </is>
      </c>
      <c r="B5" s="13" t="inlineStr"/>
      <c r="C5" s="13" t="inlineStr">
        <is>
          <t>Enter Target</t>
        </is>
      </c>
      <c r="D5" s="13" t="inlineStr"/>
    </row>
    <row r="6">
      <c r="A6" s="12" t="inlineStr">
        <is>
          <t>X-bar (Process Mean)</t>
        </is>
      </c>
      <c r="B6" s="13" t="inlineStr"/>
      <c r="C6" s="13">
        <f>AVERAGE(Data)</f>
        <v/>
      </c>
      <c r="D6" s="13" t="inlineStr"/>
    </row>
    <row r="7">
      <c r="A7" s="12" t="inlineStr">
        <is>
          <t>Sigma_short (R-bar/d2)</t>
        </is>
      </c>
      <c r="B7" s="13" t="inlineStr"/>
      <c r="C7" s="13">
        <f>R-bar/d2</f>
        <v/>
      </c>
      <c r="D7" s="13" t="inlineStr"/>
    </row>
    <row r="8">
      <c r="A8" s="12" t="inlineStr">
        <is>
          <t>Sigma_long (s of all readings)</t>
        </is>
      </c>
      <c r="B8" s="13" t="inlineStr"/>
      <c r="C8" s="13">
        <f>STDEV(all data)</f>
        <v/>
      </c>
      <c r="D8" s="13" t="inlineStr"/>
    </row>
    <row r="9">
      <c r="A9" s="12" t="inlineStr">
        <is>
          <t>Cp</t>
        </is>
      </c>
      <c r="B9" s="13" t="inlineStr"/>
      <c r="C9" s="13">
        <f>(USL-LSL)/(6*sigma_short)</f>
        <v/>
      </c>
      <c r="D9" s="13" t="inlineStr">
        <is>
          <t>&gt;=1.67 for CC</t>
        </is>
      </c>
    </row>
    <row r="10">
      <c r="A10" s="12" t="inlineStr">
        <is>
          <t>Cpk</t>
        </is>
      </c>
      <c r="B10" s="13" t="inlineStr"/>
      <c r="C10" s="13">
        <f>MIN((USL-Xbar)/3s,(Xbar-LSL)/3s)</f>
        <v/>
      </c>
      <c r="D10" s="13" t="inlineStr">
        <is>
          <t>&gt;=1.67 for CC</t>
        </is>
      </c>
    </row>
    <row r="11">
      <c r="A11" s="12" t="inlineStr">
        <is>
          <t>Pp</t>
        </is>
      </c>
      <c r="B11" s="13" t="inlineStr"/>
      <c r="C11" s="13">
        <f>(USL-LSL)/(6*sigma_long)</f>
        <v/>
      </c>
      <c r="D11" s="13" t="inlineStr">
        <is>
          <t>&gt;=1.67 for new process</t>
        </is>
      </c>
    </row>
    <row r="12">
      <c r="A12" s="12" t="inlineStr">
        <is>
          <t>Ppk</t>
        </is>
      </c>
      <c r="B12" s="13" t="inlineStr"/>
      <c r="C12" s="13">
        <f>MIN((USL-Xbar)/3s_long,(Xbar-LSL)/3s_long)</f>
        <v/>
      </c>
      <c r="D12" s="13" t="inlineStr">
        <is>
          <t>&gt;=1.67 for PPAP</t>
        </is>
      </c>
    </row>
    <row r="13">
      <c r="A13" s="12" t="inlineStr">
        <is>
          <t>Process Sigma Level</t>
        </is>
      </c>
      <c r="B13" s="13" t="inlineStr"/>
      <c r="C13" s="13">
        <f>(Cpk)*3</f>
        <v/>
      </c>
      <c r="D13" s="13" t="inlineStr">
        <is>
          <t>6 sigma = world class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4" customWidth="1" min="5" max="5"/>
    <col width="16" customWidth="1" min="6" max="6"/>
    <col width="16" customWidth="1" min="7" max="7"/>
  </cols>
  <sheetData>
    <row r="1">
      <c r="A1" s="1" t="inlineStr">
        <is>
          <t>CONTROL CHART CONSTANTS — AIAG SPC 2nd Edition</t>
        </is>
      </c>
    </row>
    <row r="2">
      <c r="A2" s="14" t="inlineStr">
        <is>
          <t>n (Subgroup Size)</t>
        </is>
      </c>
      <c r="B2" s="14" t="inlineStr">
        <is>
          <t>A2 (X-bar)</t>
        </is>
      </c>
      <c r="C2" s="14" t="inlineStr">
        <is>
          <t>D3 (LCL_R)</t>
        </is>
      </c>
      <c r="D2" s="14" t="inlineStr">
        <is>
          <t>D4 (UCL_R)</t>
        </is>
      </c>
      <c r="E2" s="14" t="inlineStr">
        <is>
          <t>d2 (sigma_R)</t>
        </is>
      </c>
      <c r="F2" s="14" t="inlineStr">
        <is>
          <t>A3 (X-bar, s chart)</t>
        </is>
      </c>
      <c r="G2" s="14" t="inlineStr">
        <is>
          <t>B3 / B4 (s chart)</t>
        </is>
      </c>
    </row>
    <row r="3">
      <c r="A3" s="8" t="n">
        <v>2</v>
      </c>
      <c r="B3" s="15" t="n">
        <v>1.88</v>
      </c>
      <c r="C3" s="15" t="n">
        <v>0</v>
      </c>
      <c r="D3" s="15" t="n">
        <v>3.267</v>
      </c>
      <c r="E3" s="15" t="n">
        <v>1.128</v>
      </c>
      <c r="F3" s="15" t="n">
        <v>2.659</v>
      </c>
      <c r="G3" s="15" t="inlineStr">
        <is>
          <t>0/3.267</t>
        </is>
      </c>
    </row>
    <row r="4">
      <c r="A4" s="8" t="n">
        <v>3</v>
      </c>
      <c r="B4" s="15" t="n">
        <v>1.023</v>
      </c>
      <c r="C4" s="15" t="n">
        <v>0</v>
      </c>
      <c r="D4" s="15" t="n">
        <v>2.574</v>
      </c>
      <c r="E4" s="15" t="n">
        <v>1.693</v>
      </c>
      <c r="F4" s="15" t="n">
        <v>1.954</v>
      </c>
      <c r="G4" s="15" t="inlineStr">
        <is>
          <t>0/2.568</t>
        </is>
      </c>
    </row>
    <row r="5">
      <c r="A5" s="8" t="n">
        <v>4</v>
      </c>
      <c r="B5" s="15" t="n">
        <v>0.729</v>
      </c>
      <c r="C5" s="15" t="n">
        <v>0</v>
      </c>
      <c r="D5" s="15" t="n">
        <v>2.282</v>
      </c>
      <c r="E5" s="15" t="n">
        <v>2.059</v>
      </c>
      <c r="F5" s="15" t="n">
        <v>1.628</v>
      </c>
      <c r="G5" s="15" t="inlineStr">
        <is>
          <t>0/2.266</t>
        </is>
      </c>
    </row>
    <row r="6">
      <c r="A6" s="8" t="n">
        <v>5</v>
      </c>
      <c r="B6" s="15" t="n">
        <v>0.577</v>
      </c>
      <c r="C6" s="15" t="n">
        <v>0</v>
      </c>
      <c r="D6" s="15" t="n">
        <v>2.114</v>
      </c>
      <c r="E6" s="15" t="n">
        <v>2.326</v>
      </c>
      <c r="F6" s="15" t="n">
        <v>1.427</v>
      </c>
      <c r="G6" s="15" t="inlineStr">
        <is>
          <t>0/2.089</t>
        </is>
      </c>
    </row>
    <row r="7">
      <c r="A7" s="8" t="n">
        <v>6</v>
      </c>
      <c r="B7" s="15" t="n">
        <v>0.483</v>
      </c>
      <c r="C7" s="15" t="n">
        <v>0</v>
      </c>
      <c r="D7" s="15" t="n">
        <v>2.004</v>
      </c>
      <c r="E7" s="15" t="n">
        <v>2.534</v>
      </c>
      <c r="F7" s="15" t="n">
        <v>1.287</v>
      </c>
      <c r="G7" s="15" t="inlineStr">
        <is>
          <t>0.030/1.970</t>
        </is>
      </c>
    </row>
    <row r="8">
      <c r="A8" s="8" t="n">
        <v>7</v>
      </c>
      <c r="B8" s="15" t="n">
        <v>0.419</v>
      </c>
      <c r="C8" s="15" t="n">
        <v>0.076</v>
      </c>
      <c r="D8" s="15" t="n">
        <v>1.924</v>
      </c>
      <c r="E8" s="15" t="n">
        <v>2.704</v>
      </c>
      <c r="F8" s="15" t="n">
        <v>1.182</v>
      </c>
      <c r="G8" s="15" t="inlineStr">
        <is>
          <t>0.118/1.882</t>
        </is>
      </c>
    </row>
    <row r="9">
      <c r="A9" s="8" t="n">
        <v>8</v>
      </c>
      <c r="B9" s="15" t="n">
        <v>0.373</v>
      </c>
      <c r="C9" s="15" t="n">
        <v>0.136</v>
      </c>
      <c r="D9" s="15" t="n">
        <v>1.864</v>
      </c>
      <c r="E9" s="15" t="n">
        <v>2.847</v>
      </c>
      <c r="F9" s="15" t="n">
        <v>1.099</v>
      </c>
      <c r="G9" s="15" t="inlineStr">
        <is>
          <t>0.185/1.815</t>
        </is>
      </c>
    </row>
    <row r="10">
      <c r="A10" s="8" t="n">
        <v>9</v>
      </c>
      <c r="B10" s="15" t="n">
        <v>0.337</v>
      </c>
      <c r="C10" s="15" t="n">
        <v>0.184</v>
      </c>
      <c r="D10" s="15" t="n">
        <v>1.816</v>
      </c>
      <c r="E10" s="15" t="n">
        <v>2.97</v>
      </c>
      <c r="F10" s="15" t="n">
        <v>1.032</v>
      </c>
      <c r="G10" s="15" t="inlineStr">
        <is>
          <t>0.239/1.761</t>
        </is>
      </c>
    </row>
    <row r="11">
      <c r="A11" s="8" t="n">
        <v>10</v>
      </c>
      <c r="B11" s="15" t="n">
        <v>0.308</v>
      </c>
      <c r="C11" s="15" t="n">
        <v>0.223</v>
      </c>
      <c r="D11" s="15" t="n">
        <v>1.777</v>
      </c>
      <c r="E11" s="15" t="n">
        <v>3.078</v>
      </c>
      <c r="F11" s="15" t="n">
        <v>0.975</v>
      </c>
      <c r="G11" s="15" t="inlineStr">
        <is>
          <t>0.284/1.716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2026-08-06T15:06:28Z</dcterms:created>
  <dcterms:modified xmlns:dcterms="http://purl.org/dc/terms/" xmlns:xsi="http://www.w3.org/2001/XMLSchema-instance" xsi:type="dcterms:W3CDTF">2026-08-06T15:06:28Z</dcterms:modified>
</cp:coreProperties>
</file>